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KANKSHA CHAUHAN\Downloads\Manufacturing Downtime Analysis\"/>
    </mc:Choice>
  </mc:AlternateContent>
  <xr:revisionPtr revIDLastSave="0" documentId="8_{B6C44B04-0ADD-4E70-AF59-21E8E5E2542C}" xr6:coauthVersionLast="47" xr6:coauthVersionMax="47" xr10:uidLastSave="{00000000-0000-0000-0000-000000000000}"/>
  <bookViews>
    <workbookView xWindow="-108" yWindow="-108" windowWidth="23256" windowHeight="12456" xr2:uid="{8FF62ED8-A67E-423F-8325-F23DB684777C}"/>
  </bookViews>
  <sheets>
    <sheet name="Dashboard" sheetId="9" r:id="rId1"/>
    <sheet name="Line productivity" sheetId="1" r:id="rId2"/>
    <sheet name="Products" sheetId="8" r:id="rId3"/>
    <sheet name="Downtime factors" sheetId="3" r:id="rId4"/>
    <sheet name="Line downtime" sheetId="2" r:id="rId5"/>
  </sheets>
  <definedNames>
    <definedName name="_xlnm._FilterDatabase" localSheetId="3" hidden="1">'Downtime factors'!$A$1:$D$13</definedName>
    <definedName name="_xlnm._FilterDatabase" localSheetId="1" hidden="1">'Line productivity'!$A$1:$F$39</definedName>
  </definedNames>
  <calcPr calcId="19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9" l="1"/>
  <c r="E33" i="9"/>
  <c r="F33" i="9"/>
  <c r="G33" i="9"/>
  <c r="H33" i="9"/>
  <c r="D34" i="9"/>
  <c r="E34" i="9"/>
  <c r="F34" i="9"/>
  <c r="G34" i="9"/>
  <c r="H34" i="9"/>
  <c r="D35" i="9"/>
  <c r="E35" i="9"/>
  <c r="F35" i="9"/>
  <c r="G35" i="9"/>
  <c r="H35" i="9"/>
  <c r="E32" i="9"/>
  <c r="F32" i="9"/>
  <c r="G32" i="9"/>
  <c r="H32" i="9"/>
  <c r="D32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3" i="2"/>
  <c r="D5" i="3"/>
  <c r="D10" i="3"/>
  <c r="D4" i="3"/>
  <c r="D8" i="3"/>
  <c r="D2" i="3"/>
  <c r="E3" i="3" s="1"/>
  <c r="D3" i="3"/>
  <c r="D6" i="3"/>
  <c r="D12" i="3"/>
  <c r="D9" i="3"/>
  <c r="D11" i="3"/>
  <c r="D7" i="3"/>
  <c r="D13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E10" i="3" l="1"/>
  <c r="E9" i="3"/>
  <c r="E8" i="3"/>
  <c r="E7" i="3"/>
  <c r="E2" i="3"/>
  <c r="E6" i="3"/>
  <c r="E13" i="3"/>
  <c r="E5" i="3"/>
  <c r="E12" i="3"/>
  <c r="E4" i="3"/>
  <c r="E11" i="3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<sst xmlns="http://schemas.openxmlformats.org/spreadsheetml/2006/main" count="153" uniqueCount="53">
  <si>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</si>
  <si>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</si>
  <si>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</si>
  <si>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</si>
  <si>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</si>
  <si>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</si>
  <si>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</si>
  <si>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</si>
  <si>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</si>
  <si>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</si>
  <si>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</si>
  <si>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</si>
  <si>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</si>
  <si>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</si>
  <si>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</si>
  <si>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</si>
  <si>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</si>
  <si>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</si>
  <si>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</si>
  <si>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</si>
  <si>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</si>
  <si>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</si>
  <si>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</si>
  <si>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</si>
  <si>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</si>
  <si>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</si>
  <si>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</si>
  <si>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</si>
  <si>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</si>
  <si>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</si>
  <si>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</si>
  <si>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</si>
  <si>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</si>
  <si>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</si>
  <si>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</si>
  <si>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</si>
  <si>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</si>
  <si>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</si>
  <si>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</si>
  <si>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</si>
  <si>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</si>
  <si>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</si>
  <si>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</si>
  <si>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</si>
  <si>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Batch Time</t>
  </si>
  <si>
    <t>Min time</t>
  </si>
  <si>
    <t>Sum of Efficiency</t>
  </si>
  <si>
    <t>Row Labels</t>
  </si>
  <si>
    <t>Downtime</t>
  </si>
  <si>
    <t>Pareto</t>
  </si>
  <si>
    <t>Machine Adjustment</t>
  </si>
  <si>
    <t>Machine Failure</t>
  </si>
  <si>
    <t>Batch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</si>
</sst>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1" applyFont="1"/>
    <xf numFmtId="0" fontId="4" fillId="0" borderId="0" xfId="0" applyFont="1" applyAlignment="1">
      <alignment horizontal="center" vertical="center"/>
    </xf>
    <xf numFmtId="0" fontId="1" fillId="0" borderId="0" xfId="0" applyFont="1"/>
  </cellXfs>
  <cellStyles count="2">
    <cellStyle name="Normal" xfId="0" builtinId="0"/>
    <cellStyle name="Percent" xfId="1" builtinId="5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[Manufacturing_Line_Productivity.xlsx]Dashboard!PivotTable1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by Operator</a:t>
            </a:r>
          </a:p>
        </c:rich>
      </c:tx>
      <c:layout>
        <c:manualLayout>
          <c:xMode val="edge"/>
          <c:yMode val="edge"/>
          <c:x val="0.3719936793615084"/>
          <c:y val="4.3233895373973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08-45D9-9AE7-DF6BC6896C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Dashboard!$A$4:$A$7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Dashboard!$B$4:$B$7</c:f>
              <c:numCache>
                <c:formatCode>0.00%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8-45D9-9AE7-DF6BC6896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947166608"/>
        <c:axId val="1947170928"/>
      </c:barChart>
      <c:catAx>
        <c:axId val="194716660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70928"/>
        <c:crosses val="autoZero"/>
        <c:auto val="1"/>
        <c:lblAlgn val="ctr"/>
        <c:lblOffset val="100"/>
        <c:noMultiLvlLbl val="0"/>
      </c:catAx>
      <c:valAx>
        <c:axId val="1947170928"/>
        <c:scaling>
          <c:orientation val="minMax"/>
          <c:max val="0.70000000000000007"/>
          <c:min val="0"/>
        </c:scaling>
        <c:delete val="1"/>
        <c:axPos val="t"/>
        <c:numFmt formatCode="0.00%" sourceLinked="1"/>
        <c:majorTickMark val="out"/>
        <c:minorTickMark val="none"/>
        <c:tickLblPos val="nextTo"/>
        <c:crossAx val="194716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Downtown Factors Pareto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factors'!$D$1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45-49FE-8F5C-4F1EA999F48A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45-49FE-8F5C-4F1EA999F48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145-49FE-8F5C-4F1EA999F48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145-49FE-8F5C-4F1EA999F48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145-49FE-8F5C-4F1EA999F48A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145-49FE-8F5C-4F1EA999F48A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45-49FE-8F5C-4F1EA999F48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45-49FE-8F5C-4F1EA999F48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45-49FE-8F5C-4F1EA999F48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45-49FE-8F5C-4F1EA999F48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45-49FE-8F5C-4F1EA999F48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145-49FE-8F5C-4F1EA999F48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45-49FE-8F5C-4F1EA999F4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factors'!$D$2:$D$13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45-49FE-8F5C-4F1EA999F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167088"/>
        <c:axId val="1947171888"/>
      </c:barChart>
      <c:lineChart>
        <c:grouping val="standard"/>
        <c:varyColors val="0"/>
        <c:ser>
          <c:idx val="1"/>
          <c:order val="1"/>
          <c:tx>
            <c:strRef>
              <c:f>'Downtime factors'!$E$1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diamond"/>
              <c:size val="6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145-49FE-8F5C-4F1EA999F48A}"/>
              </c:ext>
            </c:extLst>
          </c:dPt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45-49FE-8F5C-4F1EA999F4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factors'!$E$2:$E$13</c:f>
              <c:numCache>
                <c:formatCode>0%</c:formatCode>
                <c:ptCount val="12"/>
                <c:pt idx="0">
                  <c:v>0.23919308357348704</c:v>
                </c:pt>
                <c:pt idx="1">
                  <c:v>0.42219020172910665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0.93371757925072041</c:v>
                </c:pt>
                <c:pt idx="8">
                  <c:v>0.96397694524495681</c:v>
                </c:pt>
                <c:pt idx="9">
                  <c:v>0.98775216138328525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45-49FE-8F5C-4F1EA999F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186768"/>
        <c:axId val="1947182928"/>
      </c:lineChart>
      <c:catAx>
        <c:axId val="194716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71888"/>
        <c:crosses val="autoZero"/>
        <c:auto val="1"/>
        <c:lblAlgn val="ctr"/>
        <c:lblOffset val="100"/>
        <c:noMultiLvlLbl val="0"/>
      </c:catAx>
      <c:valAx>
        <c:axId val="1947171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Downtime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67088"/>
        <c:crosses val="autoZero"/>
        <c:crossBetween val="between"/>
      </c:valAx>
      <c:valAx>
        <c:axId val="1947182928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86768"/>
        <c:crosses val="max"/>
        <c:crossBetween val="between"/>
      </c:valAx>
      <c:catAx>
        <c:axId val="1947186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7182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62865</xdr:colOff>
      <xdr:row>4</xdr:row>
      <xdr:rowOff>89535</xdr:rowOff>
    </xdr:from>
    <xdr:to>
      <xdr:col>8</xdr:col>
      <xdr:colOff>436245</xdr:colOff>
      <xdr:row>20</xdr:row>
      <xdr:rowOff>100965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13941F-0515-896C-A207-179749D92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76200</xdr:colOff>
      <xdr:row>0</xdr:row>
      <xdr:rowOff>99060</xdr:rowOff>
    </xdr:from>
    <xdr:to>
      <xdr:col>8</xdr:col>
      <xdr:colOff>426720</xdr:colOff>
      <xdr:row>5</xdr:row>
      <xdr:rowOff>7620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F1D8D2-0EFE-9F29-0A26-BAB05DB0E75D}"/>
            </a:ext>
          </a:extLst>
        </xdr:cNvPr>
        <xdr:cNvSpPr txBox="1"/>
      </xdr:nvSpPr>
      <xdr:spPr>
        <a:xfrm>
          <a:off x="76200" y="99060"/>
          <a:ext cx="6324600" cy="8229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t"/>
        <a:lstStyle/>
        <a:p>
          <a:r>
            <a:rPr lang="en-IN" sz="2000" b="1" u="sng">
              <a:solidFill>
                <a:schemeClr val="tx2"/>
              </a:solidFill>
            </a:rPr>
            <a:t>Overall line efficiency</a:t>
          </a:r>
          <a:r>
            <a:rPr lang="en-IN" sz="2000" b="1" u="sng" baseline="0">
              <a:solidFill>
                <a:schemeClr val="tx2"/>
              </a:solidFill>
            </a:rPr>
            <a:t> sits at 64%</a:t>
          </a:r>
          <a:endParaRPr lang="en-IN" sz="1600" b="1" u="sng" baseline="0">
            <a:solidFill>
              <a:schemeClr val="tx2"/>
            </a:solidFill>
          </a:endParaRPr>
        </a:p>
        <a:p>
          <a:r>
            <a:rPr lang="en-IN" sz="1400" baseline="0"/>
            <a:t>We should place special focus on Mac</a:t>
          </a:r>
          <a:endParaRPr lang="en-IN" sz="1400"/>
        </a:p>
      </xdr:txBody>
    </xdr:sp>
    <xdr:clientData/>
  </xdr:twoCellAnchor>
  <xdr:twoCellAnchor editAs="absolute">
    <xdr:from>
      <xdr:col>9</xdr:col>
      <xdr:colOff>373380</xdr:colOff>
      <xdr:row>4</xdr:row>
      <xdr:rowOff>95250</xdr:rowOff>
    </xdr:from>
    <xdr:to>
      <xdr:col>20</xdr:col>
      <xdr:colOff>78105</xdr:colOff>
      <xdr:row>20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3CF2CF-2860-4CC1-A4D0-BB8ED24FB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365760</xdr:colOff>
      <xdr:row>0</xdr:row>
      <xdr:rowOff>83820</xdr:rowOff>
    </xdr:from>
    <xdr:to>
      <xdr:col>20</xdr:col>
      <xdr:colOff>78105</xdr:colOff>
      <xdr:row>5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ECF109F-9FD6-FE07-34F1-608429A62AEC}"/>
            </a:ext>
          </a:extLst>
        </xdr:cNvPr>
        <xdr:cNvSpPr txBox="1"/>
      </xdr:nvSpPr>
      <xdr:spPr>
        <a:xfrm>
          <a:off x="6827520" y="83820"/>
          <a:ext cx="5074920" cy="83058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t"/>
        <a:lstStyle/>
        <a:p>
          <a:r>
            <a:rPr lang="en-IN" sz="1800" b="1" u="sng">
              <a:solidFill>
                <a:schemeClr val="tx2"/>
              </a:solidFill>
            </a:rPr>
            <a:t>The top 5 factors account for 80% of the downtime</a:t>
          </a:r>
          <a:endParaRPr lang="en-IN" sz="1100" b="1" u="sng">
            <a:solidFill>
              <a:schemeClr val="tx2"/>
            </a:solidFill>
          </a:endParaRPr>
        </a:p>
        <a:p>
          <a:r>
            <a:rPr lang="en-IN" sz="1400"/>
            <a:t>We should priortize</a:t>
          </a:r>
          <a:r>
            <a:rPr lang="en-IN" sz="1400" baseline="0"/>
            <a:t> them and ignore the rest</a:t>
          </a:r>
          <a:endParaRPr lang="en-IN" sz="1400"/>
        </a:p>
      </xdr:txBody>
    </xdr:sp>
    <xdr:clientData/>
  </xdr:twoCellAnchor>
  <xdr:twoCellAnchor>
    <xdr:from>
      <xdr:col>2</xdr:col>
      <xdr:colOff>30480</xdr:colOff>
      <xdr:row>24</xdr:row>
      <xdr:rowOff>76200</xdr:rowOff>
    </xdr:from>
    <xdr:to>
      <xdr:col>9</xdr:col>
      <xdr:colOff>220980</xdr:colOff>
      <xdr:row>31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1EDBD32-C953-5910-B7E9-CC5D01A93706}"/>
            </a:ext>
          </a:extLst>
        </xdr:cNvPr>
        <xdr:cNvSpPr txBox="1"/>
      </xdr:nvSpPr>
      <xdr:spPr>
        <a:xfrm>
          <a:off x="30480" y="4419600"/>
          <a:ext cx="6648450" cy="10096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wrap="square" rtlCol="0" anchor="t"/>
        <a:lstStyle/>
        <a:p>
          <a:r>
            <a:rPr lang="en-IN" sz="1800" b="1" u="sng">
              <a:solidFill>
                <a:schemeClr val="tx2"/>
              </a:solidFill>
            </a:rPr>
            <a:t>3</a:t>
          </a:r>
          <a:r>
            <a:rPr lang="en-IN" sz="1800" b="1" u="sng" baseline="0">
              <a:solidFill>
                <a:schemeClr val="tx2"/>
              </a:solidFill>
            </a:rPr>
            <a:t> out of the 5 main downtime factors are due to operator error</a:t>
          </a:r>
        </a:p>
        <a:p>
          <a:r>
            <a:rPr lang="en-IN" sz="1400" baseline="0"/>
            <a:t>We should focus on machine adjustment for everyone and batch change for Mac</a:t>
          </a:r>
          <a:endParaRPr lang="en-IN" sz="1400"/>
        </a:p>
      </xdr:txBody>
    </xdr:sp>
    <xdr:clientData/>
  </xdr:twoCellAnchor>
  <xdr:twoCellAnchor>
    <xdr:from>
      <xdr:col>10</xdr:col>
      <xdr:colOff>148590</xdr:colOff>
      <xdr:row>24</xdr:row>
      <xdr:rowOff>156210</xdr:rowOff>
    </xdr:from>
    <xdr:to>
      <xdr:col>19</xdr:col>
      <xdr:colOff>419100</xdr:colOff>
      <xdr:row>33</xdr:row>
      <xdr:rowOff>36195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78EF44-8E97-ACB9-29A9-505B6D1E23DE}"/>
            </a:ext>
          </a:extLst>
        </xdr:cNvPr>
        <xdr:cNvSpPr txBox="1"/>
      </xdr:nvSpPr>
      <xdr:spPr>
        <a:xfrm>
          <a:off x="7092315" y="4499610"/>
          <a:ext cx="4642485" cy="132778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u="sng"/>
            <a:t>Recommendations</a:t>
          </a:r>
        </a:p>
        <a:p>
          <a:endParaRPr lang="en-IN" sz="1100" b="1" u="sng"/>
        </a:p>
        <a:p>
          <a:r>
            <a:rPr lang="en-IN" sz="1100"/>
            <a:t>1)Start with machine adjustments training for all operators</a:t>
          </a:r>
        </a:p>
        <a:p>
          <a:endParaRPr lang="en-IN" sz="1100"/>
        </a:p>
        <a:p>
          <a:r>
            <a:rPr lang="en-IN" sz="1100"/>
            <a:t>2)Provide</a:t>
          </a:r>
          <a:r>
            <a:rPr lang="en-IN" sz="1100" baseline="0"/>
            <a:t> special batch change training for Mac</a:t>
          </a:r>
        </a:p>
        <a:p>
          <a:endParaRPr lang="en-IN" sz="1100" baseline="0"/>
        </a:p>
        <a:p>
          <a:r>
            <a:rPr lang="en-IN" sz="1100" baseline="0"/>
            <a:t>3)Apply preventive maintenance to machine and double check inventory levels </a:t>
          </a:r>
          <a:endParaRPr lang="en-IN" sz="1100"/>
        </a:p>
      </xdr:txBody>
    </xdr:sp>
    <xdr:clientData/>
  </xdr:twoCellAnchor>
  <xdr:twoCellAnchor>
    <xdr:from>
      <xdr:col>6</xdr:col>
      <xdr:colOff>0</xdr:colOff>
      <xdr:row>33</xdr:row>
      <xdr:rowOff>175260</xdr:rowOff>
    </xdr:from>
    <xdr:to>
      <xdr:col>7</xdr:col>
      <xdr:colOff>15240</xdr:colOff>
      <xdr:row>35</xdr:row>
      <xdr:rowOff>7620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3A3FEE9-C228-1231-7153-4522F1D50062}"/>
            </a:ext>
          </a:extLst>
        </xdr:cNvPr>
        <xdr:cNvSpPr/>
      </xdr:nvSpPr>
      <xdr:spPr>
        <a:xfrm>
          <a:off x="3726180" y="6027420"/>
          <a:ext cx="845820" cy="198120"/>
        </a:xfrm>
        <a:prstGeom prst="rect">
          <a:avLst/>
        </a:prstGeom>
        <a:noFill/>
        <a:ln w="28575"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31</xdr:row>
      <xdr:rowOff>0</xdr:rowOff>
    </xdr:from>
    <xdr:to>
      <xdr:col>4</xdr:col>
      <xdr:colOff>0</xdr:colOff>
      <xdr:row>34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79C5A6B-FF94-4BA2-9B09-5D1E106E1A82}"/>
            </a:ext>
          </a:extLst>
        </xdr:cNvPr>
        <xdr:cNvSpPr/>
      </xdr:nvSpPr>
      <xdr:spPr>
        <a:xfrm>
          <a:off x="495300" y="5486400"/>
          <a:ext cx="1203960" cy="548640"/>
        </a:xfrm>
        <a:prstGeom prst="rect">
          <a:avLst/>
        </a:prstGeom>
        <a:noFill/>
        <a:ln w="28575"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 CHAUHAN" refreshedDate="46065.864860648151" createdVersion="8" refreshedVersion="8" minRefreshableVersion="3" recordCount="38" xr:uid="{C56DB8A7-95AB-4950-93B4-144FE6D5B01B}">
  <cacheSource type="worksheet">
    <worksheetSource ref="A1:H39" sheet="Line productivity"/>
  </cacheSource>
  <cacheFields count="9">
    <cacheField name="Date" numFmtId="164">
      <sharedItems containsSemiMixedTypes="0" containsNonDate="0" containsDate="1" containsString="0" minDate="2024-08-29T00:00:00" maxDate="2024-09-04T00:00:00"/>
    </cacheField>
    <cacheField name="Product" numFmtId="0">
      <sharedItems count="6">
        <s v="OR-600"/>
        <s v="LE-600"/>
        <s v="CO-600"/>
        <s v="DC-600"/>
        <s v="RB-600"/>
        <s v="CO-2L"/>
      </sharedItems>
    </cacheField>
    <cacheField name="Batch" numFmtId="0">
      <sharedItems containsSemiMixedTypes="0" containsString="0" containsNumber="1" containsInteger="1" minValue="422111" maxValue="422148" count="38">
        <n v="422111"/>
        <n v="422112"/>
        <n v="422113"/>
        <n v="422114"/>
        <n v="422115"/>
        <n v="422116"/>
        <n v="422117"/>
        <n v="422118"/>
        <n v="422119"/>
        <n v="422120"/>
        <n v="422121"/>
        <n v="422122"/>
        <n v="422123"/>
        <n v="422124"/>
        <n v="422125"/>
        <n v="422126"/>
        <n v="422127"/>
        <n v="422128"/>
        <n v="422129"/>
        <n v="422130"/>
        <n v="422131"/>
        <n v="422132"/>
        <n v="422133"/>
        <n v="422134"/>
        <n v="422135"/>
        <n v="422136"/>
        <n v="422137"/>
        <n v="422138"/>
        <n v="422139"/>
        <n v="422140"/>
        <n v="422141"/>
        <n v="422142"/>
        <n v="422143"/>
        <n v="422144"/>
        <n v="422145"/>
        <n v="422146"/>
        <n v="422147"/>
        <n v="422148"/>
      </sharedItems>
    </cacheField>
    <cacheField name="Operator" numFmtId="0">
      <sharedItems count="4">
        <s v="Mac"/>
        <s v="Charlie"/>
        <s v="Dee"/>
        <s v="Dennis"/>
      </sharedItems>
    </cacheField>
    <cacheField name="Start Time" numFmtId="21">
      <sharedItems containsSemiMixedTypes="0" containsNonDate="0" containsDate="1" containsString="0" minDate="1899-12-30T01:00:00" maxDate="1899-12-30T22:55:00"/>
    </cacheField>
    <cacheField name="End Time" numFmtId="21">
      <sharedItems containsSemiMixedTypes="0" containsNonDate="0" containsDate="1" containsString="0" minDate="1899-12-30T02:45:00" maxDate="1899-12-31T01:05:00"/>
    </cacheField>
    <cacheField name="Batch Time" numFmtId="1">
      <sharedItems containsSemiMixedTypes="0" containsString="0" containsNumber="1" minValue="59.999999999999943" maxValue="205.00000000000006"/>
    </cacheField>
    <cacheField name="Min time" numFmtId="0">
      <sharedItems containsSemiMixedTypes="0" containsString="0" containsNumber="1" containsInteger="1" minValue="60" maxValue="98"/>
    </cacheField>
    <cacheField name="Efficiency" numFmtId="0" formula="'Min time'/'Batch Tim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4-08-29T00:00:00"/>
    <x v="0"/>
    <x v="0"/>
    <x v="0"/>
    <d v="1899-12-30T11:50:00"/>
    <d v="1899-12-30T14:05:00"/>
    <n v="135"/>
    <n v="60"/>
  </r>
  <r>
    <d v="2024-08-29T00:00:00"/>
    <x v="1"/>
    <x v="1"/>
    <x v="0"/>
    <d v="1899-12-30T14:05:00"/>
    <d v="1899-12-30T15:45:00"/>
    <n v="99.999999999999972"/>
    <n v="60"/>
  </r>
  <r>
    <d v="2024-08-29T00:00:00"/>
    <x v="1"/>
    <x v="2"/>
    <x v="0"/>
    <d v="1899-12-30T15:45:00"/>
    <d v="1899-12-30T17:35:00"/>
    <n v="109.99999999999993"/>
    <n v="60"/>
  </r>
  <r>
    <d v="2024-08-29T00:00:00"/>
    <x v="1"/>
    <x v="3"/>
    <x v="0"/>
    <d v="1899-12-30T17:35:00"/>
    <d v="1899-12-30T19:15:00"/>
    <n v="99.999999999999972"/>
    <n v="60"/>
  </r>
  <r>
    <d v="2024-08-29T00:00:00"/>
    <x v="1"/>
    <x v="4"/>
    <x v="1"/>
    <d v="1899-12-30T19:15:00"/>
    <d v="1899-12-30T20:39:00"/>
    <n v="84.000000000000028"/>
    <n v="60"/>
  </r>
  <r>
    <d v="2024-08-29T00:00:00"/>
    <x v="1"/>
    <x v="5"/>
    <x v="1"/>
    <d v="1899-12-30T20:39:00"/>
    <d v="1899-12-30T21:39:00"/>
    <n v="59.999999999999943"/>
    <n v="60"/>
  </r>
  <r>
    <d v="2024-08-29T00:00:00"/>
    <x v="1"/>
    <x v="6"/>
    <x v="1"/>
    <d v="1899-12-30T21:39:00"/>
    <d v="1899-12-30T22:54:00"/>
    <n v="75.000000000000057"/>
    <n v="60"/>
  </r>
  <r>
    <d v="2024-08-30T00:00:00"/>
    <x v="2"/>
    <x v="7"/>
    <x v="2"/>
    <d v="1899-12-30T04:05:00"/>
    <d v="1899-12-30T06:05:00"/>
    <n v="119.99999999999997"/>
    <n v="60"/>
  </r>
  <r>
    <d v="2024-08-30T00:00:00"/>
    <x v="2"/>
    <x v="8"/>
    <x v="2"/>
    <d v="1899-12-30T06:05:00"/>
    <d v="1899-12-30T07:30:00"/>
    <n v="85.000000000000014"/>
    <n v="60"/>
  </r>
  <r>
    <d v="2024-08-30T00:00:00"/>
    <x v="2"/>
    <x v="9"/>
    <x v="2"/>
    <d v="1899-12-30T07:30:00"/>
    <d v="1899-12-30T09:22:00"/>
    <n v="112"/>
    <n v="60"/>
  </r>
  <r>
    <d v="2024-08-30T00:00:00"/>
    <x v="2"/>
    <x v="10"/>
    <x v="3"/>
    <d v="1899-12-30T09:22:00"/>
    <d v="1899-12-30T10:37:00"/>
    <n v="74.999999999999972"/>
    <n v="60"/>
  </r>
  <r>
    <d v="2024-08-30T00:00:00"/>
    <x v="2"/>
    <x v="11"/>
    <x v="3"/>
    <d v="1899-12-30T10:37:00"/>
    <d v="1899-12-30T12:02:00"/>
    <n v="85.000000000000014"/>
    <n v="60"/>
  </r>
  <r>
    <d v="2024-08-30T00:00:00"/>
    <x v="2"/>
    <x v="12"/>
    <x v="3"/>
    <d v="1899-12-30T12:02:00"/>
    <d v="1899-12-30T14:15:00"/>
    <n v="133"/>
    <n v="60"/>
  </r>
  <r>
    <d v="2024-08-30T00:00:00"/>
    <x v="2"/>
    <x v="13"/>
    <x v="3"/>
    <d v="1899-12-30T14:15:00"/>
    <d v="1899-12-30T15:55:00"/>
    <n v="99.999999999999972"/>
    <n v="60"/>
  </r>
  <r>
    <d v="2024-08-30T00:00:00"/>
    <x v="2"/>
    <x v="14"/>
    <x v="1"/>
    <d v="1899-12-30T15:55:00"/>
    <d v="1899-12-30T17:15:00"/>
    <n v="80.000000000000028"/>
    <n v="60"/>
  </r>
  <r>
    <d v="2024-08-30T00:00:00"/>
    <x v="2"/>
    <x v="15"/>
    <x v="1"/>
    <d v="1899-12-30T17:15:00"/>
    <d v="1899-12-30T18:59:00"/>
    <n v="103.99999999999994"/>
    <n v="60"/>
  </r>
  <r>
    <d v="2024-08-30T00:00:00"/>
    <x v="2"/>
    <x v="16"/>
    <x v="1"/>
    <d v="1899-12-30T18:59:00"/>
    <d v="1899-12-30T20:22:00"/>
    <n v="83.000000000000028"/>
    <n v="60"/>
  </r>
  <r>
    <d v="2024-08-30T00:00:00"/>
    <x v="2"/>
    <x v="17"/>
    <x v="1"/>
    <d v="1899-12-30T20:22:00"/>
    <d v="1899-12-30T22:14:00"/>
    <n v="112.00000000000009"/>
    <n v="60"/>
  </r>
  <r>
    <d v="2024-08-30T00:00:00"/>
    <x v="2"/>
    <x v="18"/>
    <x v="1"/>
    <d v="1899-12-30T22:14:00"/>
    <d v="1899-12-30T23:29:00"/>
    <n v="74.999999999999886"/>
    <n v="60"/>
  </r>
  <r>
    <d v="2024-08-31T00:00:00"/>
    <x v="2"/>
    <x v="19"/>
    <x v="2"/>
    <d v="1899-12-30T07:45:00"/>
    <d v="1899-12-30T09:05:00"/>
    <n v="79.999999999999957"/>
    <n v="60"/>
  </r>
  <r>
    <d v="2024-08-31T00:00:00"/>
    <x v="2"/>
    <x v="20"/>
    <x v="2"/>
    <d v="1899-12-30T09:05:00"/>
    <d v="1899-12-30T10:35:00"/>
    <n v="90"/>
    <n v="60"/>
  </r>
  <r>
    <d v="2024-08-31T00:00:00"/>
    <x v="2"/>
    <x v="21"/>
    <x v="2"/>
    <d v="1899-12-30T10:35:00"/>
    <d v="1899-12-30T11:35:00"/>
    <n v="60.000000000000028"/>
    <n v="60"/>
  </r>
  <r>
    <d v="2024-08-31T00:00:00"/>
    <x v="3"/>
    <x v="22"/>
    <x v="2"/>
    <d v="1899-12-30T11:35:00"/>
    <d v="1899-12-30T12:55:00"/>
    <n v="79.999999999999957"/>
    <n v="60"/>
  </r>
  <r>
    <d v="2024-08-31T00:00:00"/>
    <x v="3"/>
    <x v="23"/>
    <x v="0"/>
    <d v="1899-12-30T12:55:00"/>
    <d v="1899-12-30T14:45:00"/>
    <n v="110.00000000000009"/>
    <n v="60"/>
  </r>
  <r>
    <d v="2024-08-31T00:00:00"/>
    <x v="3"/>
    <x v="24"/>
    <x v="0"/>
    <d v="1899-12-30T14:45:00"/>
    <d v="1899-12-30T16:30:00"/>
    <n v="104.99999999999994"/>
    <n v="60"/>
  </r>
  <r>
    <d v="2024-08-31T00:00:00"/>
    <x v="3"/>
    <x v="25"/>
    <x v="0"/>
    <d v="1899-12-30T16:30:00"/>
    <d v="1899-12-30T17:30:00"/>
    <n v="59.999999999999943"/>
    <n v="60"/>
  </r>
  <r>
    <d v="2024-09-02T00:00:00"/>
    <x v="4"/>
    <x v="26"/>
    <x v="2"/>
    <d v="1899-12-30T01:00:00"/>
    <d v="1899-12-30T02:45:00"/>
    <n v="104.99999999999999"/>
    <n v="60"/>
  </r>
  <r>
    <d v="2024-09-02T00:00:00"/>
    <x v="4"/>
    <x v="27"/>
    <x v="2"/>
    <d v="1899-12-30T02:45:00"/>
    <d v="1899-12-30T04:05:00"/>
    <n v="80.000000000000014"/>
    <n v="60"/>
  </r>
  <r>
    <d v="2024-09-02T00:00:00"/>
    <x v="4"/>
    <x v="28"/>
    <x v="2"/>
    <d v="1899-12-30T04:05:00"/>
    <d v="1899-12-30T05:40:00"/>
    <n v="94.999999999999986"/>
    <n v="60"/>
  </r>
  <r>
    <d v="2024-09-02T00:00:00"/>
    <x v="4"/>
    <x v="29"/>
    <x v="2"/>
    <d v="1899-12-30T05:40:00"/>
    <d v="1899-12-30T07:43:00"/>
    <n v="123.00000000000004"/>
    <n v="60"/>
  </r>
  <r>
    <d v="2024-09-02T00:00:00"/>
    <x v="4"/>
    <x v="30"/>
    <x v="3"/>
    <d v="1899-12-30T07:43:00"/>
    <d v="1899-12-30T08:50:00"/>
    <n v="67"/>
    <n v="60"/>
  </r>
  <r>
    <d v="2024-09-02T00:00:00"/>
    <x v="4"/>
    <x v="31"/>
    <x v="3"/>
    <d v="1899-12-30T08:50:00"/>
    <d v="1899-12-30T10:20:00"/>
    <n v="90"/>
    <n v="60"/>
  </r>
  <r>
    <d v="2024-09-02T00:00:00"/>
    <x v="4"/>
    <x v="32"/>
    <x v="3"/>
    <d v="1899-12-30T10:20:00"/>
    <d v="1899-12-30T12:18:00"/>
    <n v="117.9999999999999"/>
    <n v="60"/>
  </r>
  <r>
    <d v="2024-09-02T00:00:00"/>
    <x v="5"/>
    <x v="33"/>
    <x v="3"/>
    <d v="1899-12-30T12:18:00"/>
    <d v="1899-12-30T14:50:00"/>
    <n v="152.00000000000011"/>
    <n v="98"/>
  </r>
  <r>
    <d v="2024-09-02T00:00:00"/>
    <x v="5"/>
    <x v="34"/>
    <x v="1"/>
    <d v="1899-12-30T14:50:00"/>
    <d v="1899-12-30T16:50:00"/>
    <n v="120.00000000000006"/>
    <n v="98"/>
  </r>
  <r>
    <d v="2024-09-02T00:00:00"/>
    <x v="5"/>
    <x v="35"/>
    <x v="1"/>
    <d v="1899-12-30T16:50:00"/>
    <d v="1899-12-30T19:30:00"/>
    <n v="159.99999999999991"/>
    <n v="98"/>
  </r>
  <r>
    <d v="2024-09-02T00:00:00"/>
    <x v="5"/>
    <x v="36"/>
    <x v="1"/>
    <d v="1899-12-30T19:30:00"/>
    <d v="1899-12-30T22:55:00"/>
    <n v="205.00000000000006"/>
    <n v="98"/>
  </r>
  <r>
    <d v="2024-09-03T00:00:00"/>
    <x v="5"/>
    <x v="37"/>
    <x v="0"/>
    <d v="1899-12-30T22:55:00"/>
    <d v="1899-12-31T01:05:00"/>
    <n v="129.9999999999998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CC133-93DC-4C63-9B55-E7C33DB9398E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3">
  <location ref="A3:B7" firstHeaderRow="1" firstDataRow="1" firstDataCol="1"/>
  <pivotFields count="9">
    <pivotField numFmtId="164" showAll="0"/>
    <pivotField showAll="0">
      <items count="7">
        <item x="5"/>
        <item x="2"/>
        <item x="3"/>
        <item x="1"/>
        <item x="0"/>
        <item x="4"/>
        <item t="default"/>
      </items>
    </pivotField>
    <pivotField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1" showAll="0"/>
    <pivotField numFmtId="21" showAll="0"/>
    <pivotField numFmtId="1" showAll="0"/>
    <pivotField showAll="0"/>
    <pivotField dataField="1" dragToRow="0" dragToCol="0" dragToPage="0" showAll="0" defaultSubtotal="0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Efficiency" fld="8" baseField="0" baseItem="0" numFmtId="1"/>
  </dataFields>
  <formats count="2">
    <format dxfId="0">
      <pivotArea collapsedLevelsAreSubtotals="1" fieldPosition="0">
        <references count="1">
          <reference field="3" count="1">
            <x v="0"/>
          </reference>
        </references>
      </pivotArea>
    </format>
    <format dxfId="1">
      <pivotArea collapsedLevelsAreSubtotals="1" fieldPosition="0">
        <references count="1">
          <reference field="3" count="3">
            <x v="1"/>
            <x v="2"/>
            <x v="3"/>
          </reference>
        </references>
      </pivotArea>
    </format>
  </format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426F-C12C-4094-950D-BA43ACD83BCC}">
  <dimension ref="A3:H35"/>
  <sheetViews>
    <sheetView showGridLines="0" tabSelected="1" topLeftCell="C1" zoomScale="70" zoomScaleNormal="70" workbookViewId="0">
      <selection activeCell="W16" sqref="W16"/>
    </sheetView>
  </sheetViews>
  <sheetFormatPr defaultRowHeight="14.4" x14ac:dyDescent="0.3"/>
  <cols>
    <col min="1" max="1" width="12.44140625" hidden="1" customWidth="1"/>
    <col min="2" max="2" width="15.21875" hidden="1" customWidth="1"/>
    <col min="3" max="3" width="7.21875" bestFit="1" customWidth="1"/>
    <col min="4" max="4" width="19.21875" customWidth="1"/>
    <col min="5" max="5" width="14.88671875" bestFit="1" customWidth="1"/>
    <col min="6" max="6" width="16.88671875" bestFit="1" customWidth="1"/>
    <col min="7" max="7" width="13" bestFit="1" customWidth="1"/>
    <col min="8" max="8" width="15.77734375" bestFit="1" customWidth="1"/>
    <col min="9" max="22" width="7.109375" bestFit="1" customWidth="1"/>
    <col min="23" max="23" width="8.109375" bestFit="1" customWidth="1"/>
    <col min="24" max="26" width="7.109375" bestFit="1" customWidth="1"/>
    <col min="27" max="27" width="8.109375" bestFit="1" customWidth="1"/>
    <col min="28" max="39" width="7.109375" bestFit="1" customWidth="1"/>
  </cols>
  <sheetData>
    <row r="3" spans="1:2" x14ac:dyDescent="0.3">
      <c r="A3" s="6" t="s">
        <v>47</v>
      </c>
      <c r="B3" t="s">
        <v>46</v>
      </c>
    </row>
    <row r="4" spans="1:2" x14ac:dyDescent="0.3">
      <c r="A4" s="7" t="s">
        <v>40</v>
      </c>
      <c r="B4" s="8">
        <v>0.66839378238341973</v>
      </c>
    </row>
    <row r="5" spans="1:2" x14ac:dyDescent="0.3">
      <c r="A5" s="7" t="s">
        <v>41</v>
      </c>
      <c r="B5" s="8">
        <v>0.64077669902912626</v>
      </c>
    </row>
    <row r="6" spans="1:2" x14ac:dyDescent="0.3">
      <c r="A6" s="7" t="s">
        <v>42</v>
      </c>
      <c r="B6" s="8">
        <v>0.63170731707317074</v>
      </c>
    </row>
    <row r="7" spans="1:2" x14ac:dyDescent="0.3">
      <c r="A7" s="7" t="s">
        <v>43</v>
      </c>
      <c r="B7" s="8">
        <v>0.60941176470588243</v>
      </c>
    </row>
    <row r="30" spans="3:8" hidden="1" x14ac:dyDescent="0.3">
      <c r="D30">
        <v>6</v>
      </c>
      <c r="E30">
        <v>7</v>
      </c>
      <c r="F30">
        <v>4</v>
      </c>
      <c r="G30">
        <v>2</v>
      </c>
      <c r="H30">
        <v>8</v>
      </c>
    </row>
    <row r="31" spans="3:8" x14ac:dyDescent="0.3">
      <c r="D31" s="11" t="s">
        <v>50</v>
      </c>
      <c r="E31" t="s">
        <v>51</v>
      </c>
      <c r="F31" t="s">
        <v>14</v>
      </c>
      <c r="G31" s="11" t="s">
        <v>52</v>
      </c>
      <c r="H31" s="11" t="s">
        <v>13</v>
      </c>
    </row>
    <row r="32" spans="3:8" x14ac:dyDescent="0.3">
      <c r="C32" t="s">
        <v>40</v>
      </c>
      <c r="D32" s="10">
        <f>SUMIFS(INDEX('Line downtime'!$C$3:$N$40,,MATCH(Dashboard!$D$30:$H$30,'Line downtime'!$C$2:$N$2,0)),'Line downtime'!$B$3:$B$40,Dashboard!$C32)</f>
        <v>118</v>
      </c>
      <c r="E32" s="10">
        <f>SUMIFS(INDEX('Line downtime'!$C$3:$N$40,,MATCH(Dashboard!$D$30:$H$30,'Line downtime'!$C$2:$N$2,0)),'Line downtime'!$B$3:$B$40,Dashboard!$C32)</f>
        <v>85</v>
      </c>
      <c r="F32" s="10">
        <f>SUMIFS(INDEX('Line downtime'!$C$3:$N$40,,MATCH(Dashboard!$D$30:$H$30,'Line downtime'!$C$2:$N$2,0)),'Line downtime'!$B$3:$B$40,Dashboard!$C32)</f>
        <v>17</v>
      </c>
      <c r="G32" s="10">
        <f>SUMIFS(INDEX('Line downtime'!$C$3:$N$40,,MATCH(Dashboard!$D$30:$H$30,'Line downtime'!$C$2:$N$2,0)),'Line downtime'!$B$3:$B$40,Dashboard!$C32)</f>
        <v>10</v>
      </c>
      <c r="H32" s="10">
        <f>SUMIFS(INDEX('Line downtime'!$C$3:$N$40,,MATCH(Dashboard!$D$30:$H$30,'Line downtime'!$C$2:$N$2,0)),'Line downtime'!$B$3:$B$40,Dashboard!$C32)</f>
        <v>44</v>
      </c>
    </row>
    <row r="33" spans="3:8" x14ac:dyDescent="0.3">
      <c r="C33" t="s">
        <v>41</v>
      </c>
      <c r="D33" s="10">
        <f>SUMIFS(INDEX('Line downtime'!$C$3:$N$40,,MATCH(Dashboard!$D$30:$H$30,'Line downtime'!$C$2:$N$2,0)),'Line downtime'!$B$3:$B$40,Dashboard!$C33)</f>
        <v>79</v>
      </c>
      <c r="E33" s="10">
        <f>SUMIFS(INDEX('Line downtime'!$C$3:$N$40,,MATCH(Dashboard!$D$30:$H$30,'Line downtime'!$C$2:$N$2,0)),'Line downtime'!$B$3:$B$40,Dashboard!$C33)</f>
        <v>36</v>
      </c>
      <c r="F33" s="10">
        <f>SUMIFS(INDEX('Line downtime'!$C$3:$N$40,,MATCH(Dashboard!$D$30:$H$30,'Line downtime'!$C$2:$N$2,0)),'Line downtime'!$B$3:$B$40,Dashboard!$C33)</f>
        <v>85</v>
      </c>
      <c r="G33" s="10">
        <f>SUMIFS(INDEX('Line downtime'!$C$3:$N$40,,MATCH(Dashboard!$D$30:$H$30,'Line downtime'!$C$2:$N$2,0)),'Line downtime'!$B$3:$B$40,Dashboard!$C33)</f>
        <v>20</v>
      </c>
      <c r="H33" s="10">
        <f>SUMIFS(INDEX('Line downtime'!$C$3:$N$40,,MATCH(Dashboard!$D$30:$H$30,'Line downtime'!$C$2:$N$2,0)),'Line downtime'!$B$3:$B$40,Dashboard!$C33)</f>
        <v>30</v>
      </c>
    </row>
    <row r="34" spans="3:8" x14ac:dyDescent="0.3">
      <c r="C34" t="s">
        <v>42</v>
      </c>
      <c r="D34" s="10">
        <f>SUMIFS(INDEX('Line downtime'!$C$3:$N$40,,MATCH(Dashboard!$D$30:$H$30,'Line downtime'!$C$2:$N$2,0)),'Line downtime'!$B$3:$B$40,Dashboard!$C34)</f>
        <v>120</v>
      </c>
      <c r="E34" s="10">
        <f>SUMIFS(INDEX('Line downtime'!$C$3:$N$40,,MATCH(Dashboard!$D$30:$H$30,'Line downtime'!$C$2:$N$2,0)),'Line downtime'!$B$3:$B$40,Dashboard!$C34)</f>
        <v>88</v>
      </c>
      <c r="F34" s="10">
        <f>SUMIFS(INDEX('Line downtime'!$C$3:$N$40,,MATCH(Dashboard!$D$30:$H$30,'Line downtime'!$C$2:$N$2,0)),'Line downtime'!$B$3:$B$40,Dashboard!$C34)</f>
        <v>43</v>
      </c>
      <c r="G34" s="10">
        <f>SUMIFS(INDEX('Line downtime'!$C$3:$N$40,,MATCH(Dashboard!$D$30:$H$30,'Line downtime'!$C$2:$N$2,0)),'Line downtime'!$B$3:$B$40,Dashboard!$C34)</f>
        <v>0</v>
      </c>
      <c r="H34" s="10">
        <f>SUMIFS(INDEX('Line downtime'!$C$3:$N$40,,MATCH(Dashboard!$D$30:$H$30,'Line downtime'!$C$2:$N$2,0)),'Line downtime'!$B$3:$B$40,Dashboard!$C34)</f>
        <v>24</v>
      </c>
    </row>
    <row r="35" spans="3:8" x14ac:dyDescent="0.3">
      <c r="C35" t="s">
        <v>43</v>
      </c>
      <c r="D35" s="10">
        <f>SUMIFS(INDEX('Line downtime'!$C$3:$N$40,,MATCH(Dashboard!$D$30:$H$30,'Line downtime'!$C$2:$N$2,0)),'Line downtime'!$B$3:$B$40,Dashboard!$C35)</f>
        <v>15</v>
      </c>
      <c r="E35" s="10">
        <f>SUMIFS(INDEX('Line downtime'!$C$3:$N$40,,MATCH(Dashboard!$D$30:$H$30,'Line downtime'!$C$2:$N$2,0)),'Line downtime'!$B$3:$B$40,Dashboard!$C35)</f>
        <v>45</v>
      </c>
      <c r="F35" s="10">
        <f>SUMIFS(INDEX('Line downtime'!$C$3:$N$40,,MATCH(Dashboard!$D$30:$H$30,'Line downtime'!$C$2:$N$2,0)),'Line downtime'!$B$3:$B$40,Dashboard!$C35)</f>
        <v>80</v>
      </c>
      <c r="G35" s="10">
        <f>SUMIFS(INDEX('Line downtime'!$C$3:$N$40,,MATCH(Dashboard!$D$30:$H$30,'Line downtime'!$C$2:$N$2,0)),'Line downtime'!$B$3:$B$40,Dashboard!$C35)</f>
        <v>130</v>
      </c>
      <c r="H35" s="10">
        <f>SUMIFS(INDEX('Line downtime'!$C$3:$N$40,,MATCH(Dashboard!$D$30:$H$30,'Line downtime'!$C$2:$N$2,0)),'Line downtime'!$B$3:$B$40,Dashboard!$C35)</f>
        <v>47</v>
      </c>
    </row>
  </sheetData>
  <conditionalFormatting sqref="D32:H35">
    <cfRule type="colorScale" priority="1">
      <colorScale>
        <cfvo type="min"/>
        <cfvo type="percentile" val="50"/>
        <cfvo type="max"/>
        <color rgb="FFFCFCFF"/>
        <color theme="0"/>
        <color theme="4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H39"/>
  <sheetViews>
    <sheetView workbookViewId="0">
      <selection sqref="A1:H39"/>
    </sheetView>
  </sheetViews>
  <sheetFormatPr defaultRowHeight="14.4" x14ac:dyDescent="0.3"/>
  <cols>
    <col min="1" max="1" width="10.44140625" bestFit="1" customWidth="1"/>
    <col min="2" max="2" width="9.5546875" bestFit="1" customWidth="1"/>
    <col min="3" max="3" width="8.88671875" customWidth="1"/>
    <col min="4" max="4" width="9.44140625" bestFit="1" customWidth="1"/>
    <col min="5" max="5" width="9.5546875" bestFit="1" customWidth="1"/>
    <col min="6" max="6" width="8.88671875" customWidth="1"/>
    <col min="7" max="7" width="10.21875" bestFit="1" customWidth="1"/>
    <col min="8" max="11" width="8.88671875" customWidth="1"/>
    <col min="13" max="13" width="8.8867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  <c r="H1" s="2" t="s">
        <v>45</v>
      </c>
    </row>
    <row r="2" spans="1:8" x14ac:dyDescent="0.3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5">
        <f>(F2-E2)*24*60</f>
        <v>135</v>
      </c>
      <c r="H2">
        <f>VLOOKUP(B2,Products!A:D,4,0)</f>
        <v>60</v>
      </c>
    </row>
    <row r="3" spans="1:8" x14ac:dyDescent="0.3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s="5">
        <f t="shared" ref="G3:G39" si="0">(F3-E3)*24*60</f>
        <v>99.999999999999972</v>
      </c>
      <c r="H3">
        <f>VLOOKUP(B3,Products!A:D,4,0)</f>
        <v>60</v>
      </c>
    </row>
    <row r="4" spans="1:8" x14ac:dyDescent="0.3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s="5">
        <f t="shared" si="0"/>
        <v>109.99999999999993</v>
      </c>
      <c r="H4">
        <f>VLOOKUP(B4,Products!A:D,4,0)</f>
        <v>60</v>
      </c>
    </row>
    <row r="5" spans="1:8" x14ac:dyDescent="0.3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s="5">
        <f t="shared" si="0"/>
        <v>99.999999999999972</v>
      </c>
      <c r="H5">
        <f>VLOOKUP(B5,Products!A:D,4,0)</f>
        <v>60</v>
      </c>
    </row>
    <row r="6" spans="1:8" x14ac:dyDescent="0.3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s="5">
        <f t="shared" si="0"/>
        <v>84.000000000000028</v>
      </c>
      <c r="H6">
        <f>VLOOKUP(B6,Products!A:D,4,0)</f>
        <v>60</v>
      </c>
    </row>
    <row r="7" spans="1:8" x14ac:dyDescent="0.3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s="5">
        <f t="shared" si="0"/>
        <v>59.999999999999943</v>
      </c>
      <c r="H7">
        <f>VLOOKUP(B7,Products!A:D,4,0)</f>
        <v>60</v>
      </c>
    </row>
    <row r="8" spans="1:8" x14ac:dyDescent="0.3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s="5">
        <f t="shared" si="0"/>
        <v>75.000000000000057</v>
      </c>
      <c r="H8">
        <f>VLOOKUP(B8,Products!A:D,4,0)</f>
        <v>60</v>
      </c>
    </row>
    <row r="9" spans="1:8" x14ac:dyDescent="0.3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s="5">
        <f t="shared" si="0"/>
        <v>119.99999999999997</v>
      </c>
      <c r="H9">
        <f>VLOOKUP(B9,Products!A:D,4,0)</f>
        <v>60</v>
      </c>
    </row>
    <row r="10" spans="1:8" x14ac:dyDescent="0.3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s="5">
        <f t="shared" si="0"/>
        <v>85.000000000000014</v>
      </c>
      <c r="H10">
        <f>VLOOKUP(B10,Products!A:D,4,0)</f>
        <v>60</v>
      </c>
    </row>
    <row r="11" spans="1:8" x14ac:dyDescent="0.3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s="5">
        <f t="shared" si="0"/>
        <v>112</v>
      </c>
      <c r="H11">
        <f>VLOOKUP(B11,Products!A:D,4,0)</f>
        <v>60</v>
      </c>
    </row>
    <row r="12" spans="1:8" x14ac:dyDescent="0.3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s="5">
        <f t="shared" si="0"/>
        <v>74.999999999999972</v>
      </c>
      <c r="H12">
        <f>VLOOKUP(B12,Products!A:D,4,0)</f>
        <v>60</v>
      </c>
    </row>
    <row r="13" spans="1:8" x14ac:dyDescent="0.3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s="5">
        <f t="shared" si="0"/>
        <v>85.000000000000014</v>
      </c>
      <c r="H13">
        <f>VLOOKUP(B13,Products!A:D,4,0)</f>
        <v>60</v>
      </c>
    </row>
    <row r="14" spans="1:8" x14ac:dyDescent="0.3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s="5">
        <f t="shared" si="0"/>
        <v>133</v>
      </c>
      <c r="H14">
        <f>VLOOKUP(B14,Products!A:D,4,0)</f>
        <v>60</v>
      </c>
    </row>
    <row r="15" spans="1:8" x14ac:dyDescent="0.3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s="5">
        <f t="shared" si="0"/>
        <v>99.999999999999972</v>
      </c>
      <c r="H15">
        <f>VLOOKUP(B15,Products!A:D,4,0)</f>
        <v>60</v>
      </c>
    </row>
    <row r="16" spans="1:8" x14ac:dyDescent="0.3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s="5">
        <f t="shared" si="0"/>
        <v>80.000000000000028</v>
      </c>
      <c r="H16">
        <f>VLOOKUP(B16,Products!A:D,4,0)</f>
        <v>60</v>
      </c>
    </row>
    <row r="17" spans="1:8" x14ac:dyDescent="0.3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s="5">
        <f t="shared" si="0"/>
        <v>103.99999999999994</v>
      </c>
      <c r="H17">
        <f>VLOOKUP(B17,Products!A:D,4,0)</f>
        <v>60</v>
      </c>
    </row>
    <row r="18" spans="1:8" x14ac:dyDescent="0.3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s="5">
        <f t="shared" si="0"/>
        <v>83.000000000000028</v>
      </c>
      <c r="H18">
        <f>VLOOKUP(B18,Products!A:D,4,0)</f>
        <v>60</v>
      </c>
    </row>
    <row r="19" spans="1:8" x14ac:dyDescent="0.3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s="5">
        <f t="shared" si="0"/>
        <v>112.00000000000009</v>
      </c>
      <c r="H19">
        <f>VLOOKUP(B19,Products!A:D,4,0)</f>
        <v>60</v>
      </c>
    </row>
    <row r="20" spans="1:8" x14ac:dyDescent="0.3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s="5">
        <f t="shared" si="0"/>
        <v>74.999999999999886</v>
      </c>
      <c r="H20">
        <f>VLOOKUP(B20,Products!A:D,4,0)</f>
        <v>60</v>
      </c>
    </row>
    <row r="21" spans="1:8" x14ac:dyDescent="0.3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s="5">
        <f t="shared" si="0"/>
        <v>79.999999999999957</v>
      </c>
      <c r="H21">
        <f>VLOOKUP(B21,Products!A:D,4,0)</f>
        <v>60</v>
      </c>
    </row>
    <row r="22" spans="1:8" x14ac:dyDescent="0.3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s="5">
        <f t="shared" si="0"/>
        <v>90</v>
      </c>
      <c r="H22">
        <f>VLOOKUP(B22,Products!A:D,4,0)</f>
        <v>60</v>
      </c>
    </row>
    <row r="23" spans="1:8" x14ac:dyDescent="0.3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s="5">
        <f t="shared" si="0"/>
        <v>60.000000000000028</v>
      </c>
      <c r="H23">
        <f>VLOOKUP(B23,Products!A:D,4,0)</f>
        <v>60</v>
      </c>
    </row>
    <row r="24" spans="1:8" x14ac:dyDescent="0.3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s="5">
        <f t="shared" si="0"/>
        <v>79.999999999999957</v>
      </c>
      <c r="H24">
        <f>VLOOKUP(B24,Products!A:D,4,0)</f>
        <v>60</v>
      </c>
    </row>
    <row r="25" spans="1:8" x14ac:dyDescent="0.3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s="5">
        <f t="shared" si="0"/>
        <v>110.00000000000009</v>
      </c>
      <c r="H25">
        <f>VLOOKUP(B25,Products!A:D,4,0)</f>
        <v>60</v>
      </c>
    </row>
    <row r="26" spans="1:8" x14ac:dyDescent="0.3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s="5">
        <f t="shared" si="0"/>
        <v>104.99999999999994</v>
      </c>
      <c r="H26">
        <f>VLOOKUP(B26,Products!A:D,4,0)</f>
        <v>60</v>
      </c>
    </row>
    <row r="27" spans="1:8" x14ac:dyDescent="0.3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s="5">
        <f t="shared" si="0"/>
        <v>59.999999999999943</v>
      </c>
      <c r="H27">
        <f>VLOOKUP(B27,Products!A:D,4,0)</f>
        <v>60</v>
      </c>
    </row>
    <row r="28" spans="1:8" x14ac:dyDescent="0.3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s="5">
        <f t="shared" si="0"/>
        <v>104.99999999999999</v>
      </c>
      <c r="H28">
        <f>VLOOKUP(B28,Products!A:D,4,0)</f>
        <v>60</v>
      </c>
    </row>
    <row r="29" spans="1:8" x14ac:dyDescent="0.3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s="5">
        <f t="shared" si="0"/>
        <v>80.000000000000014</v>
      </c>
      <c r="H29">
        <f>VLOOKUP(B29,Products!A:D,4,0)</f>
        <v>60</v>
      </c>
    </row>
    <row r="30" spans="1:8" x14ac:dyDescent="0.3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s="5">
        <f t="shared" si="0"/>
        <v>94.999999999999986</v>
      </c>
      <c r="H30">
        <f>VLOOKUP(B30,Products!A:D,4,0)</f>
        <v>60</v>
      </c>
    </row>
    <row r="31" spans="1:8" x14ac:dyDescent="0.3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s="5">
        <f t="shared" si="0"/>
        <v>123.00000000000004</v>
      </c>
      <c r="H31">
        <f>VLOOKUP(B31,Products!A:D,4,0)</f>
        <v>60</v>
      </c>
    </row>
    <row r="32" spans="1:8" x14ac:dyDescent="0.3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s="5">
        <f t="shared" si="0"/>
        <v>67</v>
      </c>
      <c r="H32">
        <f>VLOOKUP(B32,Products!A:D,4,0)</f>
        <v>60</v>
      </c>
    </row>
    <row r="33" spans="1:8" x14ac:dyDescent="0.3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s="5">
        <f t="shared" si="0"/>
        <v>90</v>
      </c>
      <c r="H33">
        <f>VLOOKUP(B33,Products!A:D,4,0)</f>
        <v>60</v>
      </c>
    </row>
    <row r="34" spans="1:8" x14ac:dyDescent="0.3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s="5">
        <f t="shared" si="0"/>
        <v>117.9999999999999</v>
      </c>
      <c r="H34">
        <f>VLOOKUP(B34,Products!A:D,4,0)</f>
        <v>60</v>
      </c>
    </row>
    <row r="35" spans="1:8" x14ac:dyDescent="0.3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s="5">
        <f t="shared" si="0"/>
        <v>152.00000000000011</v>
      </c>
      <c r="H35">
        <f>VLOOKUP(B35,Products!A:D,4,0)</f>
        <v>98</v>
      </c>
    </row>
    <row r="36" spans="1:8" x14ac:dyDescent="0.3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s="5">
        <f t="shared" si="0"/>
        <v>120.00000000000006</v>
      </c>
      <c r="H36">
        <f>VLOOKUP(B36,Products!A:D,4,0)</f>
        <v>98</v>
      </c>
    </row>
    <row r="37" spans="1:8" x14ac:dyDescent="0.3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s="5">
        <f t="shared" si="0"/>
        <v>159.99999999999991</v>
      </c>
      <c r="H37">
        <f>VLOOKUP(B37,Products!A:D,4,0)</f>
        <v>98</v>
      </c>
    </row>
    <row r="38" spans="1:8" x14ac:dyDescent="0.3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s="5">
        <f t="shared" si="0"/>
        <v>205.00000000000006</v>
      </c>
      <c r="H38">
        <f>VLOOKUP(B38,Products!A:D,4,0)</f>
        <v>98</v>
      </c>
    </row>
    <row r="39" spans="1:8" x14ac:dyDescent="0.3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s="5">
        <f t="shared" si="0"/>
        <v>129.99999999999986</v>
      </c>
      <c r="H39">
        <f>VLOOKUP(B39,Products!A:D,4,0)</f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4.4" x14ac:dyDescent="0.3"/>
  <cols>
    <col min="2" max="2" width="11.109375" bestFit="1" customWidth="1"/>
    <col min="4" max="4" width="14.44140625" bestFit="1" customWidth="1"/>
  </cols>
  <sheetData>
    <row r="1" spans="1:4" x14ac:dyDescent="0.3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3">
      <c r="A2" t="s">
        <v>24</v>
      </c>
      <c r="B2" t="s">
        <v>32</v>
      </c>
      <c r="C2" t="s">
        <v>38</v>
      </c>
      <c r="D2">
        <v>60</v>
      </c>
    </row>
    <row r="3" spans="1:4" x14ac:dyDescent="0.3">
      <c r="A3" t="s">
        <v>25</v>
      </c>
      <c r="B3" t="s">
        <v>33</v>
      </c>
      <c r="C3" t="s">
        <v>38</v>
      </c>
      <c r="D3">
        <v>60</v>
      </c>
    </row>
    <row r="4" spans="1:4" x14ac:dyDescent="0.3">
      <c r="A4" t="s">
        <v>26</v>
      </c>
      <c r="B4" t="s">
        <v>34</v>
      </c>
      <c r="C4" t="s">
        <v>38</v>
      </c>
      <c r="D4">
        <v>60</v>
      </c>
    </row>
    <row r="5" spans="1:4" x14ac:dyDescent="0.3">
      <c r="A5" t="s">
        <v>27</v>
      </c>
      <c r="B5" t="s">
        <v>35</v>
      </c>
      <c r="C5" t="s">
        <v>38</v>
      </c>
      <c r="D5">
        <v>60</v>
      </c>
    </row>
    <row r="6" spans="1:4" x14ac:dyDescent="0.3">
      <c r="A6" t="s">
        <v>28</v>
      </c>
      <c r="B6" t="s">
        <v>36</v>
      </c>
      <c r="C6" t="s">
        <v>38</v>
      </c>
      <c r="D6">
        <v>60</v>
      </c>
    </row>
    <row r="7" spans="1:4" x14ac:dyDescent="0.3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E13"/>
  <sheetViews>
    <sheetView workbookViewId="0">
      <selection activeCell="C27" sqref="C27"/>
    </sheetView>
  </sheetViews>
  <sheetFormatPr defaultRowHeight="14.4" x14ac:dyDescent="0.3"/>
  <cols>
    <col min="1" max="1" width="8.88671875" customWidth="1"/>
    <col min="2" max="2" width="19.33203125" bestFit="1" customWidth="1"/>
    <col min="3" max="3" width="14" bestFit="1" customWidth="1"/>
  </cols>
  <sheetData>
    <row r="1" spans="1:5" x14ac:dyDescent="0.3">
      <c r="A1" s="2" t="s">
        <v>6</v>
      </c>
      <c r="B1" s="2" t="s">
        <v>22</v>
      </c>
      <c r="C1" s="2" t="s">
        <v>7</v>
      </c>
      <c r="D1" s="2" t="s">
        <v>48</v>
      </c>
      <c r="E1" s="2" t="s">
        <v>49</v>
      </c>
    </row>
    <row r="2" spans="1:5" x14ac:dyDescent="0.3">
      <c r="A2">
        <v>6</v>
      </c>
      <c r="B2" t="s">
        <v>9</v>
      </c>
      <c r="C2" t="s">
        <v>21</v>
      </c>
      <c r="D2">
        <f>SUM(INDEX('Line downtime'!$C$3:$N$40,,MATCH(A2,'Line downtime'!$C$2:$N$2,0)))</f>
        <v>332</v>
      </c>
      <c r="E2" s="9">
        <f>SUM($D$2:D2)/SUM($D$2:$D$13)</f>
        <v>0.23919308357348704</v>
      </c>
    </row>
    <row r="3" spans="1:5" x14ac:dyDescent="0.3">
      <c r="A3">
        <v>7</v>
      </c>
      <c r="B3" t="s">
        <v>12</v>
      </c>
      <c r="C3" t="s">
        <v>20</v>
      </c>
      <c r="D3">
        <f>SUM(INDEX('Line downtime'!$C$3:$N$40,,MATCH(A3,'Line downtime'!$C$2:$N$2,0)))</f>
        <v>254</v>
      </c>
      <c r="E3" s="9">
        <f>SUM($D$2:D3)/SUM($D$2:$D$13)</f>
        <v>0.42219020172910665</v>
      </c>
    </row>
    <row r="4" spans="1:5" x14ac:dyDescent="0.3">
      <c r="A4">
        <v>4</v>
      </c>
      <c r="B4" t="s">
        <v>14</v>
      </c>
      <c r="C4" t="s">
        <v>20</v>
      </c>
      <c r="D4">
        <f>SUM(INDEX('Line downtime'!$C$3:$N$40,,MATCH(A4,'Line downtime'!$C$2:$N$2,0)))</f>
        <v>225</v>
      </c>
      <c r="E4" s="9">
        <f>SUM($D$2:D4)/SUM($D$2:$D$13)</f>
        <v>0.58429394812680113</v>
      </c>
    </row>
    <row r="5" spans="1:5" x14ac:dyDescent="0.3">
      <c r="A5">
        <v>2</v>
      </c>
      <c r="B5" t="s">
        <v>8</v>
      </c>
      <c r="C5" t="s">
        <v>21</v>
      </c>
      <c r="D5">
        <f>SUM(INDEX('Line downtime'!$C$3:$N$40,,MATCH(A5,'Line downtime'!$C$2:$N$2,0)))</f>
        <v>160</v>
      </c>
      <c r="E5" s="9">
        <f>SUM($D$2:D5)/SUM($D$2:$D$13)</f>
        <v>0.69956772334293948</v>
      </c>
    </row>
    <row r="6" spans="1:5" x14ac:dyDescent="0.3">
      <c r="A6">
        <v>8</v>
      </c>
      <c r="B6" t="s">
        <v>13</v>
      </c>
      <c r="C6" t="s">
        <v>21</v>
      </c>
      <c r="D6">
        <f>SUM(INDEX('Line downtime'!$C$3:$N$40,,MATCH(A6,'Line downtime'!$C$2:$N$2,0)))</f>
        <v>145</v>
      </c>
      <c r="E6" s="9">
        <f>SUM($D$2:D6)/SUM($D$2:$D$13)</f>
        <v>0.80403458213256485</v>
      </c>
    </row>
    <row r="7" spans="1:5" x14ac:dyDescent="0.3">
      <c r="A7">
        <v>12</v>
      </c>
      <c r="B7" t="s">
        <v>16</v>
      </c>
      <c r="C7" t="s">
        <v>20</v>
      </c>
      <c r="D7">
        <f>SUM(INDEX('Line downtime'!$C$3:$N$40,,MATCH(A7,'Line downtime'!$C$2:$N$2,0)))</f>
        <v>74</v>
      </c>
      <c r="E7" s="9">
        <f>SUM($D$2:D7)/SUM($D$2:$D$13)</f>
        <v>0.85734870317002887</v>
      </c>
    </row>
    <row r="8" spans="1:5" x14ac:dyDescent="0.3">
      <c r="A8">
        <v>5</v>
      </c>
      <c r="B8" t="s">
        <v>10</v>
      </c>
      <c r="C8" t="s">
        <v>21</v>
      </c>
      <c r="D8">
        <f>SUM(INDEX('Line downtime'!$C$3:$N$40,,MATCH(A8,'Line downtime'!$C$2:$N$2,0)))</f>
        <v>57</v>
      </c>
      <c r="E8" s="9">
        <f>SUM($D$2:D8)/SUM($D$2:$D$13)</f>
        <v>0.89841498559077815</v>
      </c>
    </row>
    <row r="9" spans="1:5" x14ac:dyDescent="0.3">
      <c r="A9">
        <v>10</v>
      </c>
      <c r="B9" t="s">
        <v>18</v>
      </c>
      <c r="C9" t="s">
        <v>21</v>
      </c>
      <c r="D9">
        <f>SUM(INDEX('Line downtime'!$C$3:$N$40,,MATCH(A9,'Line downtime'!$C$2:$N$2,0)))</f>
        <v>49</v>
      </c>
      <c r="E9" s="9">
        <f>SUM($D$2:D9)/SUM($D$2:$D$13)</f>
        <v>0.93371757925072041</v>
      </c>
    </row>
    <row r="10" spans="1:5" x14ac:dyDescent="0.3">
      <c r="A10">
        <v>3</v>
      </c>
      <c r="B10" t="s">
        <v>19</v>
      </c>
      <c r="C10" t="s">
        <v>20</v>
      </c>
      <c r="D10">
        <f>SUM(INDEX('Line downtime'!$C$3:$N$40,,MATCH(A10,'Line downtime'!$C$2:$N$2,0)))</f>
        <v>42</v>
      </c>
      <c r="E10" s="9">
        <f>SUM($D$2:D10)/SUM($D$2:$D$13)</f>
        <v>0.96397694524495681</v>
      </c>
    </row>
    <row r="11" spans="1:5" x14ac:dyDescent="0.3">
      <c r="A11">
        <v>11</v>
      </c>
      <c r="B11" t="s">
        <v>11</v>
      </c>
      <c r="C11" t="s">
        <v>21</v>
      </c>
      <c r="D11">
        <f>SUM(INDEX('Line downtime'!$C$3:$N$40,,MATCH(A11,'Line downtime'!$C$2:$N$2,0)))</f>
        <v>33</v>
      </c>
      <c r="E11" s="9">
        <f>SUM($D$2:D11)/SUM($D$2:$D$13)</f>
        <v>0.98775216138328525</v>
      </c>
    </row>
    <row r="12" spans="1:5" x14ac:dyDescent="0.3">
      <c r="A12">
        <v>9</v>
      </c>
      <c r="B12" t="s">
        <v>15</v>
      </c>
      <c r="C12" t="s">
        <v>20</v>
      </c>
      <c r="D12">
        <f>SUM(INDEX('Line downtime'!$C$3:$N$40,,MATCH(A12,'Line downtime'!$C$2:$N$2,0)))</f>
        <v>17</v>
      </c>
      <c r="E12" s="9">
        <f>SUM($D$2:D12)/SUM($D$2:$D$13)</f>
        <v>1</v>
      </c>
    </row>
    <row r="13" spans="1:5" x14ac:dyDescent="0.3">
      <c r="A13">
        <v>1</v>
      </c>
      <c r="B13" t="s">
        <v>17</v>
      </c>
      <c r="C13" t="s">
        <v>20</v>
      </c>
      <c r="D13">
        <f>SUM(INDEX('Line downtime'!$C$3:$N$40,,MATCH(A13,'Line downtime'!$C$2:$N$2,0)))</f>
        <v>0</v>
      </c>
      <c r="E13" s="9">
        <f>SUM($D$2:D13)/SUM($D$2:$D$13)</f>
        <v>1</v>
      </c>
    </row>
  </sheetData>
  <autoFilter ref="A1:D13" xr:uid="{4EB7156D-DBB5-4EA9-A733-8897AD1035D5}">
    <sortState xmlns:xlrd2="http://schemas.microsoft.com/office/spreadsheetml/2017/richdata2" ref="A2:D13">
      <sortCondition descending="1" ref="D1:D1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0"/>
  <sheetViews>
    <sheetView topLeftCell="A12" workbookViewId="0">
      <selection activeCell="F11" sqref="F11"/>
    </sheetView>
  </sheetViews>
  <sheetFormatPr defaultRowHeight="14.4" x14ac:dyDescent="0.3"/>
  <cols>
    <col min="1" max="2" width="8.88671875" customWidth="1"/>
    <col min="3" max="14" width="5.5546875" customWidth="1"/>
  </cols>
  <sheetData>
    <row r="1" spans="1:14" x14ac:dyDescent="0.3">
      <c r="C1" s="4" t="s">
        <v>23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2" t="s">
        <v>2</v>
      </c>
      <c r="B2" s="2" t="s">
        <v>3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1:14" x14ac:dyDescent="0.3">
      <c r="A3">
        <v>422111</v>
      </c>
      <c r="B3" t="str">
        <f>VLOOKUP(A3,'Line productivity'!C:D,2,0)</f>
        <v>Mac</v>
      </c>
      <c r="D3">
        <v>60</v>
      </c>
      <c r="I3">
        <v>15</v>
      </c>
    </row>
    <row r="4" spans="1:14" x14ac:dyDescent="0.3">
      <c r="A4">
        <v>422112</v>
      </c>
      <c r="B4" t="str">
        <f>VLOOKUP(A4,'Line productivity'!C:D,2,0)</f>
        <v>Mac</v>
      </c>
      <c r="D4">
        <v>20</v>
      </c>
      <c r="J4">
        <v>20</v>
      </c>
    </row>
    <row r="5" spans="1:14" x14ac:dyDescent="0.3">
      <c r="A5">
        <v>422113</v>
      </c>
      <c r="B5" t="str">
        <f>VLOOKUP(A5,'Line productivity'!C:D,2,0)</f>
        <v>Mac</v>
      </c>
      <c r="D5">
        <v>50</v>
      </c>
    </row>
    <row r="6" spans="1:14" x14ac:dyDescent="0.3">
      <c r="A6">
        <v>422114</v>
      </c>
      <c r="B6" t="str">
        <f>VLOOKUP(A6,'Line productivity'!C:D,2,0)</f>
        <v>Mac</v>
      </c>
      <c r="F6">
        <v>25</v>
      </c>
      <c r="H6">
        <v>15</v>
      </c>
    </row>
    <row r="7" spans="1:14" x14ac:dyDescent="0.3">
      <c r="A7">
        <v>422115</v>
      </c>
      <c r="B7" t="str">
        <f>VLOOKUP(A7,'Line productivity'!C:D,2,0)</f>
        <v>Charlie</v>
      </c>
      <c r="L7">
        <v>24</v>
      </c>
    </row>
    <row r="8" spans="1:14" x14ac:dyDescent="0.3">
      <c r="A8">
        <v>422116</v>
      </c>
      <c r="B8" t="str">
        <f>VLOOKUP(A8,'Line productivity'!C:D,2,0)</f>
        <v>Charlie</v>
      </c>
    </row>
    <row r="9" spans="1:14" x14ac:dyDescent="0.3">
      <c r="A9">
        <v>422117</v>
      </c>
      <c r="B9" t="str">
        <f>VLOOKUP(A9,'Line productivity'!C:D,2,0)</f>
        <v>Charlie</v>
      </c>
      <c r="D9">
        <v>10</v>
      </c>
      <c r="H9">
        <v>5</v>
      </c>
    </row>
    <row r="10" spans="1:14" x14ac:dyDescent="0.3">
      <c r="A10">
        <v>422118</v>
      </c>
      <c r="B10" t="str">
        <f>VLOOKUP(A10,'Line productivity'!C:D,2,0)</f>
        <v>Dee</v>
      </c>
      <c r="H10">
        <v>14</v>
      </c>
      <c r="I10">
        <v>16</v>
      </c>
      <c r="M10">
        <v>10</v>
      </c>
      <c r="N10">
        <v>20</v>
      </c>
    </row>
    <row r="11" spans="1:14" x14ac:dyDescent="0.3">
      <c r="A11">
        <v>422119</v>
      </c>
      <c r="B11" t="str">
        <f>VLOOKUP(A11,'Line productivity'!C:D,2,0)</f>
        <v>Dee</v>
      </c>
      <c r="F11">
        <v>25</v>
      </c>
    </row>
    <row r="12" spans="1:14" x14ac:dyDescent="0.3">
      <c r="A12">
        <v>422120</v>
      </c>
      <c r="B12" t="str">
        <f>VLOOKUP(A12,'Line productivity'!C:D,2,0)</f>
        <v>Dee</v>
      </c>
      <c r="F12">
        <v>20</v>
      </c>
      <c r="G12">
        <v>15</v>
      </c>
      <c r="K12">
        <v>17</v>
      </c>
    </row>
    <row r="13" spans="1:14" x14ac:dyDescent="0.3">
      <c r="A13">
        <v>422121</v>
      </c>
      <c r="B13" t="str">
        <f>VLOOKUP(A13,'Line productivity'!C:D,2,0)</f>
        <v>Dennis</v>
      </c>
      <c r="I13">
        <v>15</v>
      </c>
    </row>
    <row r="14" spans="1:14" x14ac:dyDescent="0.3">
      <c r="A14">
        <v>422122</v>
      </c>
      <c r="B14" t="str">
        <f>VLOOKUP(A14,'Line productivity'!C:D,2,0)</f>
        <v>Dennis</v>
      </c>
      <c r="I14">
        <v>25</v>
      </c>
    </row>
    <row r="15" spans="1:14" x14ac:dyDescent="0.3">
      <c r="A15">
        <v>422123</v>
      </c>
      <c r="B15" t="str">
        <f>VLOOKUP(A15,'Line productivity'!C:D,2,0)</f>
        <v>Dennis</v>
      </c>
      <c r="F15">
        <v>43</v>
      </c>
      <c r="I15">
        <v>30</v>
      </c>
    </row>
    <row r="16" spans="1:14" x14ac:dyDescent="0.3">
      <c r="A16">
        <v>422124</v>
      </c>
      <c r="B16" t="str">
        <f>VLOOKUP(A16,'Line productivity'!C:D,2,0)</f>
        <v>Dennis</v>
      </c>
      <c r="G16">
        <v>20</v>
      </c>
      <c r="H16">
        <v>20</v>
      </c>
    </row>
    <row r="17" spans="1:14" x14ac:dyDescent="0.3">
      <c r="A17">
        <v>422125</v>
      </c>
      <c r="B17" t="str">
        <f>VLOOKUP(A17,'Line productivity'!C:D,2,0)</f>
        <v>Charlie</v>
      </c>
      <c r="M17">
        <v>10</v>
      </c>
      <c r="N17">
        <v>10</v>
      </c>
    </row>
    <row r="18" spans="1:14" x14ac:dyDescent="0.3">
      <c r="A18">
        <v>422126</v>
      </c>
      <c r="B18" t="str">
        <f>VLOOKUP(A18,'Line productivity'!C:D,2,0)</f>
        <v>Charlie</v>
      </c>
      <c r="J18">
        <v>44</v>
      </c>
    </row>
    <row r="19" spans="1:14" x14ac:dyDescent="0.3">
      <c r="A19">
        <v>422127</v>
      </c>
      <c r="B19" t="str">
        <f>VLOOKUP(A19,'Line productivity'!C:D,2,0)</f>
        <v>Charlie</v>
      </c>
      <c r="H19">
        <v>23</v>
      </c>
    </row>
    <row r="20" spans="1:14" x14ac:dyDescent="0.3">
      <c r="A20">
        <v>422128</v>
      </c>
      <c r="B20" t="str">
        <f>VLOOKUP(A20,'Line productivity'!C:D,2,0)</f>
        <v>Charlie</v>
      </c>
      <c r="G20">
        <v>22</v>
      </c>
      <c r="I20">
        <v>30</v>
      </c>
    </row>
    <row r="21" spans="1:14" x14ac:dyDescent="0.3">
      <c r="A21">
        <v>422129</v>
      </c>
      <c r="B21" t="str">
        <f>VLOOKUP(A21,'Line productivity'!C:D,2,0)</f>
        <v>Charlie</v>
      </c>
      <c r="N21">
        <v>15</v>
      </c>
    </row>
    <row r="22" spans="1:14" x14ac:dyDescent="0.3">
      <c r="A22">
        <v>422130</v>
      </c>
      <c r="B22" t="str">
        <f>VLOOKUP(A22,'Line productivity'!C:D,2,0)</f>
        <v>Dee</v>
      </c>
      <c r="D22">
        <v>20</v>
      </c>
    </row>
    <row r="23" spans="1:14" x14ac:dyDescent="0.3">
      <c r="A23">
        <v>422131</v>
      </c>
      <c r="B23" t="str">
        <f>VLOOKUP(A23,'Line productivity'!C:D,2,0)</f>
        <v>Dee</v>
      </c>
      <c r="F23">
        <v>20</v>
      </c>
      <c r="L23">
        <v>10</v>
      </c>
    </row>
    <row r="24" spans="1:14" x14ac:dyDescent="0.3">
      <c r="A24">
        <v>422132</v>
      </c>
      <c r="B24" t="str">
        <f>VLOOKUP(A24,'Line productivity'!C:D,2,0)</f>
        <v>Dee</v>
      </c>
    </row>
    <row r="25" spans="1:14" x14ac:dyDescent="0.3">
      <c r="A25">
        <v>422133</v>
      </c>
      <c r="B25" t="str">
        <f>VLOOKUP(A25,'Line productivity'!C:D,2,0)</f>
        <v>Dee</v>
      </c>
      <c r="I25">
        <v>20</v>
      </c>
    </row>
    <row r="26" spans="1:14" x14ac:dyDescent="0.3">
      <c r="A26">
        <v>422134</v>
      </c>
      <c r="B26" t="str">
        <f>VLOOKUP(A26,'Line productivity'!C:D,2,0)</f>
        <v>Mac</v>
      </c>
      <c r="I26">
        <v>30</v>
      </c>
      <c r="J26">
        <v>20</v>
      </c>
    </row>
    <row r="27" spans="1:14" x14ac:dyDescent="0.3">
      <c r="A27">
        <v>422135</v>
      </c>
      <c r="B27" t="str">
        <f>VLOOKUP(A27,'Line productivity'!C:D,2,0)</f>
        <v>Mac</v>
      </c>
      <c r="F27">
        <v>30</v>
      </c>
      <c r="N27">
        <v>15</v>
      </c>
    </row>
    <row r="28" spans="1:14" x14ac:dyDescent="0.3">
      <c r="A28">
        <v>422136</v>
      </c>
      <c r="B28" t="str">
        <f>VLOOKUP(A28,'Line productivity'!C:D,2,0)</f>
        <v>Mac</v>
      </c>
    </row>
    <row r="29" spans="1:14" x14ac:dyDescent="0.3">
      <c r="A29">
        <v>422137</v>
      </c>
      <c r="B29" t="str">
        <f>VLOOKUP(A29,'Line productivity'!C:D,2,0)</f>
        <v>Dee</v>
      </c>
      <c r="J29">
        <v>30</v>
      </c>
      <c r="L29">
        <v>15</v>
      </c>
    </row>
    <row r="30" spans="1:14" x14ac:dyDescent="0.3">
      <c r="A30">
        <v>422138</v>
      </c>
      <c r="B30" t="str">
        <f>VLOOKUP(A30,'Line productivity'!C:D,2,0)</f>
        <v>Dee</v>
      </c>
      <c r="E30">
        <v>20</v>
      </c>
    </row>
    <row r="31" spans="1:14" x14ac:dyDescent="0.3">
      <c r="A31">
        <v>422139</v>
      </c>
      <c r="B31" t="str">
        <f>VLOOKUP(A31,'Line productivity'!C:D,2,0)</f>
        <v>Dee</v>
      </c>
      <c r="F31">
        <v>20</v>
      </c>
      <c r="H31">
        <v>15</v>
      </c>
    </row>
    <row r="32" spans="1:14" x14ac:dyDescent="0.3">
      <c r="A32">
        <v>422140</v>
      </c>
      <c r="B32" t="str">
        <f>VLOOKUP(A32,'Line productivity'!C:D,2,0)</f>
        <v>Dee</v>
      </c>
      <c r="H32">
        <v>50</v>
      </c>
      <c r="M32">
        <v>13</v>
      </c>
    </row>
    <row r="33" spans="1:14" x14ac:dyDescent="0.3">
      <c r="A33">
        <v>422141</v>
      </c>
      <c r="B33" t="str">
        <f>VLOOKUP(A33,'Line productivity'!C:D,2,0)</f>
        <v>Dennis</v>
      </c>
      <c r="N33">
        <v>7</v>
      </c>
    </row>
    <row r="34" spans="1:14" x14ac:dyDescent="0.3">
      <c r="A34">
        <v>422142</v>
      </c>
      <c r="B34" t="str">
        <f>VLOOKUP(A34,'Line productivity'!C:D,2,0)</f>
        <v>Dennis</v>
      </c>
      <c r="H34">
        <v>30</v>
      </c>
    </row>
    <row r="35" spans="1:14" x14ac:dyDescent="0.3">
      <c r="A35">
        <v>422143</v>
      </c>
      <c r="B35" t="str">
        <f>VLOOKUP(A35,'Line productivity'!C:D,2,0)</f>
        <v>Dennis</v>
      </c>
      <c r="H35">
        <v>40</v>
      </c>
      <c r="I35">
        <v>18</v>
      </c>
    </row>
    <row r="36" spans="1:14" x14ac:dyDescent="0.3">
      <c r="A36">
        <v>422144</v>
      </c>
      <c r="B36" t="str">
        <f>VLOOKUP(A36,'Line productivity'!C:D,2,0)</f>
        <v>Dennis</v>
      </c>
      <c r="H36">
        <v>30</v>
      </c>
      <c r="J36">
        <v>24</v>
      </c>
    </row>
    <row r="37" spans="1:14" x14ac:dyDescent="0.3">
      <c r="A37">
        <v>422145</v>
      </c>
      <c r="B37" t="str">
        <f>VLOOKUP(A37,'Line productivity'!C:D,2,0)</f>
        <v>Charlie</v>
      </c>
      <c r="E37">
        <v>22</v>
      </c>
    </row>
    <row r="38" spans="1:14" x14ac:dyDescent="0.3">
      <c r="A38">
        <v>422146</v>
      </c>
      <c r="B38" t="str">
        <f>VLOOKUP(A38,'Line productivity'!C:D,2,0)</f>
        <v>Charlie</v>
      </c>
      <c r="H38">
        <v>30</v>
      </c>
      <c r="I38">
        <v>25</v>
      </c>
      <c r="N38">
        <v>7</v>
      </c>
    </row>
    <row r="39" spans="1:14" x14ac:dyDescent="0.3">
      <c r="A39">
        <v>422147</v>
      </c>
      <c r="B39" t="str">
        <f>VLOOKUP(A39,'Line productivity'!C:D,2,0)</f>
        <v>Charlie</v>
      </c>
      <c r="F39">
        <v>17</v>
      </c>
      <c r="H39">
        <v>60</v>
      </c>
      <c r="I39">
        <v>30</v>
      </c>
    </row>
    <row r="40" spans="1:14" x14ac:dyDescent="0.3">
      <c r="A40">
        <v>422148</v>
      </c>
      <c r="B40" t="str">
        <f>VLOOKUP(A40,'Line productivity'!C:D,2,0)</f>
        <v>Mac</v>
      </c>
      <c r="F40">
        <v>25</v>
      </c>
      <c r="J40">
        <v>7</v>
      </c>
    </row>
  </sheetData>
  <mergeCells count="1">
    <mergeCell ref="C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Akanksha Chauhan</cp:lastModifiedBy>
  <dcterms:created xsi:type="dcterms:W3CDTF">2024-08-19T19:52:48Z</dcterms:created>
  <dcterms:modified xsi:type="dcterms:W3CDTF">2026-02-12T17:55:11Z</dcterms:modified>
</cp:coreProperties>
</file>